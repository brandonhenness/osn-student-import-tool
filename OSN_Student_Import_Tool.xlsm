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D:\smc modifications\"/>
    </mc:Choice>
  </mc:AlternateContent>
  <xr:revisionPtr revIDLastSave="0" documentId="13_ncr:1_{C0498A89-CE94-44E2-9C1D-9DFDEF4B2825}" xr6:coauthVersionLast="47" xr6:coauthVersionMax="47" xr10:uidLastSave="{00000000-0000-0000-0000-000000000000}"/>
  <bookViews>
    <workbookView xWindow="-108" yWindow="-108" windowWidth="23256" windowHeight="12456" xr2:uid="{00000000-000D-0000-FFFF-FFFF00000000}"/>
  </bookViews>
  <sheets>
    <sheet name="Students" sheetId="1" r:id="rId1"/>
    <sheet name="AD Users" sheetId="5" r:id="rId2"/>
    <sheet name="SMC Config" sheetId="6" r:id="rId3"/>
  </sheets>
  <definedNames>
    <definedName name="ExternalData_1" localSheetId="1" hidden="1">'AD Users'!$A$1:$H$2</definedName>
    <definedName name="_xlnm.Print_Area" localSheetId="0">students[[#All],[Enabled]:[Password]]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C3" i="1"/>
  <c r="A3" i="1"/>
  <c r="B3" i="1"/>
  <c r="E3" i="1"/>
  <c r="G3" i="1"/>
  <c r="H3" i="1"/>
  <c r="M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5C90A4-0087-4C63-B6DE-6522F050B881}" keepAlive="1" name="Query - Offenders_by_Facility" description="Connection to the 'Offenders_by_Facility' query in the workbook." type="5" refreshedVersion="8" background="1" saveData="1">
    <dbPr connection="Provider=Microsoft.Mashup.OleDb.1;Data Source=$Workbook$;Location=Offenders_by_Facility;Extended Properties=&quot;&quot;" command="SELECT * FROM [Offenders_by_Facility]"/>
  </connection>
  <connection id="2" xr16:uid="{0CE6A45F-E0A2-4467-9788-F1D4B7BDC6C2}" keepAlive="1" name="Query - osn_ad_accounts" description="Connection to the 'osn_ad_accounts' query in the workbook." type="5" refreshedVersion="8" background="1" saveData="1">
    <dbPr connection="Provider=Microsoft.Mashup.OleDb.1;Data Source=$Workbook$;Location=osn_ad_accounts;Extended Properties=&quot;&quot;" command="SELECT * FROM [osn_ad_accounts]"/>
  </connection>
  <connection id="3" xr16:uid="{9A593E15-E690-40D0-8524-C8BD342E9AEA}" keepAlive="1" name="Query - user" description="Connection to the 'user' query in the workbook." type="5" refreshedVersion="8" background="1" saveData="1">
    <dbPr connection="Provider=Microsoft.Mashup.OleDb.1;Data Source=$Workbook$;Location=user;Extended Properties=&quot;&quot;" command="SELECT * FROM [user]"/>
  </connection>
</connections>
</file>

<file path=xl/sharedStrings.xml><?xml version="1.0" encoding="utf-8"?>
<sst xmlns="http://schemas.openxmlformats.org/spreadsheetml/2006/main" count="30" uniqueCount="30">
  <si>
    <t>Institution</t>
  </si>
  <si>
    <t>Name</t>
  </si>
  <si>
    <t>DOCID</t>
  </si>
  <si>
    <t>Username</t>
  </si>
  <si>
    <t>Password</t>
  </si>
  <si>
    <t>Group1</t>
  </si>
  <si>
    <t>Group2</t>
  </si>
  <si>
    <t>Group3</t>
  </si>
  <si>
    <t>Group4</t>
  </si>
  <si>
    <t>Group5</t>
  </si>
  <si>
    <t>HDriveRootPath</t>
  </si>
  <si>
    <t>Enabled</t>
  </si>
  <si>
    <t>LogonScript</t>
  </si>
  <si>
    <t>displayName</t>
  </si>
  <si>
    <t>isEnabled</t>
  </si>
  <si>
    <t>employeeID</t>
  </si>
  <si>
    <t>sAMAccountName</t>
  </si>
  <si>
    <t>sn</t>
  </si>
  <si>
    <t>givenName</t>
  </si>
  <si>
    <t>middleName</t>
  </si>
  <si>
    <t>userAccountControl</t>
  </si>
  <si>
    <t>SMC_IMPORT_URL</t>
  </si>
  <si>
    <t>SMC_IMPORT_TOKEN</t>
  </si>
  <si>
    <t>https://smc.ghc.osn.wa.gov/import/student_import_api</t>
  </si>
  <si>
    <t>CHANGE_ME_IMPORT_TOKEN</t>
  </si>
  <si>
    <t>key</t>
  </si>
  <si>
    <t>value</t>
  </si>
  <si>
    <t>Use (SMC Import):
1. Fill students table.
2. Verify smc_config (URL + Token).
3. Run Import to SMC.
4. Accounts + Canvas provisioned automatically.</t>
  </si>
  <si>
    <t>Use (OSN CSV Export):
1. Refresh AD Users (every time).
2. Paste DOCID list.
3. Adjust special rows if needed.
4. Export Disabled Accounts.
5. Submit disabled_accounts CSV to OSN ticket.</t>
  </si>
  <si>
    <t>Setup:
Update defaults in Institution, LogonScript, Password, Groups, HDriveRootPath.
Refresh AD Users on an OSN computer (pulls from Active Directory).
Add SMC import API code to smc (web2py) and restart smc.
Configure smc_config (SMC URL + Token).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</si>
</sst>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b/>
      <sz val="18"/>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horizontal="center"/>
    </xf>
  </cellXfs>
  <cellStyles count="1">
    <cellStyle name="Normal" xfId="0" builtinId="0"/>
  </cellStyles>
  <dxfs count="12">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472440</xdr:colOff>
          <xdr:row>0</xdr:row>
          <xdr:rowOff>1135380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Export CSV Disabled OSN Student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518160</xdr:colOff>
          <xdr:row>0</xdr:row>
          <xdr:rowOff>0</xdr:rowOff>
        </xdr:from>
        <xdr:to>
          <xdr:col>3</xdr:col>
          <xdr:colOff>640080</xdr:colOff>
          <xdr:row>0</xdr:row>
          <xdr:rowOff>1135380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Import SMC/Canvas Students Accounts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BCE18C43-5EC8-4CE4-8143-6877B4E8269B}" autoFormatId="16" applyNumberFormats="0" applyBorderFormats="0" applyFontFormats="0" applyPatternFormats="0" applyAlignmentFormats="0" applyWidthHeightFormats="0">
  <queryTableRefresh nextId="28">
    <queryTableFields count="8">
      <queryTableField id="16" name="employeeID" tableColumnId="11"/>
      <queryTableField id="17" name="sAMAccountName" tableColumnId="12"/>
      <queryTableField id="18" name="sn" tableColumnId="13"/>
      <queryTableField id="19" name="givenName" tableColumnId="14"/>
      <queryTableField id="20" name="middleName" tableColumnId="15"/>
      <queryTableField id="1" name="displayName" tableColumnId="1"/>
      <queryTableField id="21" name="userAccountControl" tableColumnId="16"/>
      <queryTableField id="10" name="isEnabled"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3B7934-C0CC-422E-A930-EDF3D6D10942}" name="students" displayName="students" ref="A2:M3" totalsRowShown="0">
  <autoFilter ref="A2:M3" xr:uid="{66EA6D0F-D4D9-4B7E-BAE6-0D3837F3EB11}"/>
  <sortState xmlns:xlrd2="http://schemas.microsoft.com/office/spreadsheetml/2017/richdata2" ref="A3:M3">
    <sortCondition ref="A2:A3"/>
  </sortState>
  <tableColumns count="13">
    <tableColumn id="12" xr3:uid="{5AE09B99-A9B8-46BF-894B-C1895A10957A}" name="Enabled" dataDxfId="11">
      <calculatedColumnFormula>_xlfn.XLOOKUP(students[[#This Row],[DOCID]],users[employeeID],users[isEnabled],"",0)</calculatedColumnFormula>
    </tableColumn>
    <tableColumn id="1" xr3:uid="{1E9D70FE-960A-4E49-84C0-6D3C08B19739}" name="Institution" dataDxfId="10">
      <calculatedColumnFormula>"SCCC"</calculatedColumnFormula>
    </tableColumn>
    <tableColumn id="2" xr3:uid="{703AC541-4D21-4006-A1CA-8A1CCDD9F6FE}" name="Name" dataDxfId="9">
      <calculatedColumnFormula>_xlfn.XLOOKUP(students[[#This Row],[DOCID]],users[employeeID],users[displayName],"",0)</calculatedColumnFormula>
    </tableColumn>
    <tableColumn id="3" xr3:uid="{753F0BE2-643A-4FBE-A8F5-EE762FDFE1A6}" name="DOCID"/>
    <tableColumn id="13" xr3:uid="{A0ECAD11-F5F0-4715-AB5A-485CD6803E09}" name="LogonScript" dataDxfId="8">
      <calculatedColumnFormula>"OSN\ABR1\ABR1-Edu-Student.bat"</calculatedColumnFormula>
    </tableColumn>
    <tableColumn id="4" xr3:uid="{B7E0AAB8-9DFD-40DA-91CE-74F1A647F146}" name="Username" dataDxfId="7">
      <calculatedColumnFormula>_xlfn.XLOOKUP(students[[#This Row],[DOCID]],users[employeeID],users[sAMAccountName],"",0)</calculatedColumnFormula>
    </tableColumn>
    <tableColumn id="5" xr3:uid="{097D5B99-E2B7-4549-BFDA-C6D714E4ED3E}" name="Password">
      <calculatedColumnFormula>"WordPass123$%^&amp;"</calculatedColumnFormula>
    </tableColumn>
    <tableColumn id="6" xr3:uid="{00B6EA0D-2CDD-4AD3-88F9-E670782FDA08}" name="Group1">
      <calculatedColumnFormula>"G-S-OSN-ABR1-Student"</calculatedColumnFormula>
    </tableColumn>
    <tableColumn id="7" xr3:uid="{C3A3C763-E3A2-4BBA-962A-648726259395}" name="Group2"/>
    <tableColumn id="8" xr3:uid="{D828F253-A506-4C7C-9161-74A988F01FB4}" name="Group3"/>
    <tableColumn id="9" xr3:uid="{A72D2C3F-F570-4046-B931-4B99A7B72258}" name="Group4"/>
    <tableColumn id="10" xr3:uid="{82B2E9AB-0016-486B-83CD-95951A470A47}" name="Group5"/>
    <tableColumn id="11" xr3:uid="{7E53B8D8-A6FA-4A5C-8CA4-CBF460CAE39C}" name="HDriveRootPath">
      <calculatedColumnFormula>"\\osnflabr1100.osn.wa.gov\Home Folders\Incarcerated\"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407EA4-299D-4F60-A86C-85136F0E90E2}" name="users" displayName="users" ref="A1:H2" tableType="queryTable" insertRow="1" totalsRowShown="0">
  <autoFilter ref="A1:H2" xr:uid="{BA407EA4-299D-4F60-A86C-85136F0E90E2}"/>
  <tableColumns count="8">
    <tableColumn id="11" xr3:uid="{51BD5EE3-7533-411E-AAFC-CBFE9F2C87DA}" uniqueName="11" name="employeeID" queryTableFieldId="16" dataDxfId="6"/>
    <tableColumn id="12" xr3:uid="{0989D344-3F72-4FC2-A74A-A088B0AFF23E}" uniqueName="12" name="sAMAccountName" queryTableFieldId="17" dataDxfId="5"/>
    <tableColumn id="13" xr3:uid="{3D71A7A1-E6C7-4F65-BE05-27469DF56749}" uniqueName="13" name="sn" queryTableFieldId="18" dataDxfId="4"/>
    <tableColumn id="14" xr3:uid="{5D9687BD-20E6-4635-B009-C872CCEF92B8}" uniqueName="14" name="givenName" queryTableFieldId="19" dataDxfId="3"/>
    <tableColumn id="15" xr3:uid="{333D1A9A-10D7-49E9-8EFC-F49874A8309D}" uniqueName="15" name="middleName" queryTableFieldId="20" dataDxfId="2"/>
    <tableColumn id="1" xr3:uid="{AA946AD0-7BBD-4DE3-B528-D03D10DB6537}" uniqueName="1" name="displayName" queryTableFieldId="1" dataDxfId="1"/>
    <tableColumn id="16" xr3:uid="{7A065F27-B4B0-4652-9204-37D8E00D4718}" uniqueName="16" name="userAccountControl" queryTableFieldId="21"/>
    <tableColumn id="10" xr3:uid="{49F612DC-8A0B-4304-9566-84E657B8DD2E}" uniqueName="10" name="isEnabled"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702FF6-5C2A-4868-8FD4-5ACA5CB1DA3C}" name="smc_config" displayName="smc_config" ref="A1:B3" totalsRowShown="0">
  <autoFilter ref="A1:B3" xr:uid="{A6702FF6-5C2A-4868-8FD4-5ACA5CB1DA3C}"/>
  <tableColumns count="2">
    <tableColumn id="1" xr3:uid="{2B6BA456-951C-469D-B0DC-F8D58A28D619}" name="key" dataCellStyle="Hyperlink"/>
    <tableColumn id="2" xr3:uid="{633D24A2-D5A5-4B8F-A5B6-6C4DB1BE81C9}" name="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https://smc.ghc.osn.wa.gov/import/student_import_ap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3"/>
  <sheetViews>
    <sheetView tabSelected="1" workbookViewId="0">
      <pane xSplit="4" ySplit="2" topLeftCell="E3" activePane="bottomRight" state="frozen"/>
      <selection pane="topRight" activeCell="E1" sqref="E1"/>
      <selection pane="bottomLeft" activeCell="A3" sqref="A3"/>
      <selection pane="bottomRight" activeCell="F3" sqref="F3"/>
    </sheetView>
  </sheetViews>
  <sheetFormatPr defaultRowHeight="14.4" x14ac:dyDescent="0.3"/>
  <cols>
    <col min="1" max="1" width="10" bestFit="1" customWidth="1"/>
    <col min="2" max="2" width="11.88671875" bestFit="1" customWidth="1"/>
    <col min="3" max="3" width="28.109375" customWidth="1"/>
    <col min="4" max="4" width="10.6640625" customWidth="1"/>
    <col min="5" max="5" width="29" bestFit="1" customWidth="1"/>
    <col min="6" max="6" width="18.6640625" bestFit="1" customWidth="1"/>
    <col min="7" max="7" width="18.5546875" customWidth="1"/>
    <col min="8" max="8" width="21.109375" customWidth="1"/>
    <col min="9" max="12" width="9.44140625" bestFit="1" customWidth="1"/>
    <col min="13" max="13" width="48" bestFit="1" customWidth="1"/>
  </cols>
  <sheetData>
    <row r="1" spans="1:13" ht="94.2" customHeight="1" x14ac:dyDescent="0.3">
      <c r="A1" s="2"/>
      <c r="B1" s="2"/>
      <c r="C1" s="2"/>
      <c r="D1" s="2"/>
      <c r="E1" s="1" t="s">
        <v>29</v>
      </c>
      <c r="F1" s="1"/>
      <c r="G1" s="1"/>
      <c r="H1" s="1" t="s">
        <v>28</v>
      </c>
      <c r="I1" s="1"/>
      <c r="J1" s="1"/>
      <c r="K1" s="1" t="s">
        <v>27</v>
      </c>
      <c r="L1" s="1"/>
      <c r="M1" s="1"/>
    </row>
    <row r="2" spans="1:13" x14ac:dyDescent="0.3">
      <c r="A2" t="s">
        <v>11</v>
      </c>
      <c r="B2" t="s">
        <v>0</v>
      </c>
      <c r="C2" t="s">
        <v>1</v>
      </c>
      <c r="D2" t="s">
        <v>2</v>
      </c>
      <c r="E2" t="s">
        <v>12</v>
      </c>
      <c r="F2" t="s">
        <v>3</v>
      </c>
      <c r="G2" t="s">
        <v>4</v>
      </c>
      <c r="H2" t="s">
        <v>5</v>
      </c>
      <c r="I2" t="s">
        <v>6</v>
      </c>
      <c r="J2" t="s">
        <v>7</v>
      </c>
      <c r="K2" t="s">
        <v>8</v>
      </c>
      <c r="L2" t="s">
        <v>9</v>
      </c>
      <c r="M2" t="s">
        <v>10</v>
      </c>
    </row>
    <row r="3" spans="1:13" x14ac:dyDescent="0.3">
      <c r="A3">
        <f>_xlfn.XLOOKUP(students[[#This Row],[DOCID]],users[employeeID],users[isEnabled],"",0)</f>
        <v>0</v>
      </c>
      <c r="B3" t="str">
        <f t="shared" ref="B3" si="0">"SCCC"</f>
        <v>SCCC</v>
      </c>
      <c r="C3">
        <f>_xlfn.XLOOKUP(students[[#This Row],[DOCID]],users[employeeID],users[displayName],"",0)</f>
        <v>0</v>
      </c>
      <c r="E3" t="str">
        <f t="shared" ref="E3" si="1">"OSN\ABR1\ABR1-Edu-Student.bat"</f>
        <v>OSN\ABR1\ABR1-Edu-Student.bat</v>
      </c>
      <c r="F3">
        <f>_xlfn.XLOOKUP(students[[#This Row],[DOCID]],users[employeeID],users[sAMAccountName],"",0)</f>
        <v>0</v>
      </c>
      <c r="G3" t="str">
        <f t="shared" ref="G3" si="2">"WordPass123$%^&amp;"</f>
        <v>WordPass123$%^&amp;</v>
      </c>
      <c r="H3" t="str">
        <f t="shared" ref="H3" si="3">"G-S-OSN-ABR1-Student"</f>
        <v>G-S-OSN-ABR1-Student</v>
      </c>
      <c r="M3" t="str">
        <f t="shared" ref="M3" si="4">"\\osnflabr1100.osn.wa.gov\Home Folders\Incarcerated\"</f>
        <v>\\osnflabr1100.osn.wa.gov\Home Folders\Incarcerated\</v>
      </c>
    </row>
  </sheetData>
  <mergeCells count="4">
    <mergeCell ref="E1:G1"/>
    <mergeCell ref="A1:D1"/>
    <mergeCell ref="K1:M1"/>
    <mergeCell ref="H1:J1"/>
  </mergeCells>
  <conditionalFormatting sqref="D3">
    <cfRule type="duplicateValues" dxfId="0" priority="43"/>
  </conditionalFormatting>
  <pageMargins left="0.7" right="0.7" top="0.75" bottom="0.75" header="0.3" footer="0.3"/>
  <pageSetup scale="7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DisabledStudentsToCsv">
                <anchor moveWithCells="1" sizeWithCells="1">
                  <from>
                    <xdr:col>0</xdr:col>
                    <xdr:colOff>0</xdr:colOff>
                    <xdr:row>0</xdr:row>
                    <xdr:rowOff>0</xdr:rowOff>
                  </from>
                  <to>
                    <xdr:col>2</xdr:col>
                    <xdr:colOff>472440</xdr:colOff>
                    <xdr:row>0</xdr:row>
                    <xdr:rowOff>1135380</xdr:rowOff>
                  </to>
                </anchor>
              </controlPr>
            </control>
          </mc:Choice>
        </mc:AlternateContent>
        <mc:AlternateContent xmlns:mc="http://schemas.openxmlformats.org/markup-compatibility/2006">
          <mc:Choice Requires="x14">
            <control shapeId="1028" r:id="rId5" name="Button 4">
              <controlPr defaultSize="0" print="0" autoFill="0" autoPict="0" macro="[0]!ImportStudentsToSMC">
                <anchor moveWithCells="1" sizeWithCells="1">
                  <from>
                    <xdr:col>2</xdr:col>
                    <xdr:colOff>518160</xdr:colOff>
                    <xdr:row>0</xdr:row>
                    <xdr:rowOff>0</xdr:rowOff>
                  </from>
                  <to>
                    <xdr:col>3</xdr:col>
                    <xdr:colOff>640080</xdr:colOff>
                    <xdr:row>0</xdr:row>
                    <xdr:rowOff>1135380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5A527-00EF-4636-811D-51643637C799}">
  <sheetPr codeName="Sheet2"/>
  <dimension ref="A1:H1"/>
  <sheetViews>
    <sheetView workbookViewId="0">
      <selection activeCell="C2" sqref="C2"/>
    </sheetView>
  </sheetViews>
  <sheetFormatPr defaultColWidth="15.21875" defaultRowHeight="14.4" x14ac:dyDescent="0.3"/>
  <cols>
    <col min="1" max="1" width="13.33203125" bestFit="1" customWidth="1"/>
    <col min="2" max="2" width="19.109375" bestFit="1" customWidth="1"/>
    <col min="3" max="3" width="26.77734375" bestFit="1" customWidth="1"/>
    <col min="4" max="4" width="30.44140625" bestFit="1" customWidth="1"/>
    <col min="5" max="5" width="14" bestFit="1" customWidth="1"/>
    <col min="6" max="6" width="57.33203125" bestFit="1" customWidth="1"/>
    <col min="7" max="7" width="20.21875" bestFit="1" customWidth="1"/>
    <col min="8" max="8" width="11.21875" bestFit="1" customWidth="1"/>
    <col min="12" max="12" width="36.21875" customWidth="1"/>
    <col min="13" max="13" width="41.21875" customWidth="1"/>
  </cols>
  <sheetData>
    <row r="1" spans="1:8" x14ac:dyDescent="0.3">
      <c r="A1" t="s">
        <v>15</v>
      </c>
      <c r="B1" t="s">
        <v>16</v>
      </c>
      <c r="C1" t="s">
        <v>17</v>
      </c>
      <c r="D1" t="s">
        <v>18</v>
      </c>
      <c r="E1" t="s">
        <v>19</v>
      </c>
      <c r="F1" t="s">
        <v>13</v>
      </c>
      <c r="G1" t="s">
        <v>20</v>
      </c>
      <c r="H1" t="s">
        <v>14</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7BA80-3EC2-4EF9-907C-287A885549D8}">
  <sheetPr codeName="Sheet3"/>
  <dimension ref="A1:B3"/>
  <sheetViews>
    <sheetView workbookViewId="0">
      <selection activeCell="B9" sqref="B9"/>
    </sheetView>
  </sheetViews>
  <sheetFormatPr defaultRowHeight="14.4" x14ac:dyDescent="0.3"/>
  <cols>
    <col min="1" max="1" width="19.21875" bestFit="1" customWidth="1"/>
    <col min="2" max="2" width="47.6640625" bestFit="1" customWidth="1"/>
  </cols>
  <sheetData>
    <row r="1" spans="1:2" x14ac:dyDescent="0.3">
      <c r="A1" t="s">
        <v>25</v>
      </c>
      <c r="B1" t="s">
        <v>26</v>
      </c>
    </row>
    <row r="2" spans="1:2" x14ac:dyDescent="0.3">
      <c r="A2" t="s">
        <v>21</v>
      </c>
      <c r="B2" t="s">
        <v>23</v>
      </c>
    </row>
    <row r="3" spans="1:2" x14ac:dyDescent="0.3">
      <c r="A3" t="s">
        <v>22</v>
      </c>
      <c r="B3" t="s">
        <v>24</v>
      </c>
    </row>
  </sheetData>
  <hyperlinks>
    <hyperlink ref="B2" r:id="rId1" xr:uid="{566F7597-BCEB-41D1-BA56-520EBDAF4113}"/>
  </hyperlinks>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63DDEC-70D7-44E1-A7A9-4F3AEAF37A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Students</vt:lpstr>
      <vt:lpstr>AD Users</vt:lpstr>
      <vt:lpstr>SMC Config</vt:lpstr>
      <vt:lpstr>Students!Print_Area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Henness, Brandon J. 'GHC' (DOC)</cp:lastModifiedBy>
  <dcterms:created xsi:type="dcterms:W3CDTF">2015-06-05T18:17:20Z</dcterms:created>
  <dcterms:modified xsi:type="dcterms:W3CDTF">2026-01-21T01:44:29Z</dcterms:modified>
</cp:coreProperties>
</file>